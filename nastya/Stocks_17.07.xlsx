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filterPrivacy="1"/>
  <xr:revisionPtr revIDLastSave="0" documentId="8_{1A0B1071-4CF6-9048-8DD0-20012E9B48AB}" xr6:coauthVersionLast="47" xr6:coauthVersionMax="47" xr10:uidLastSave="{00000000-0000-0000-0000-000000000000}"/>
  <bookViews>
    <workbookView xWindow="2180" yWindow="820" windowWidth="29320" windowHeight="1656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P3" i="1"/>
  <c r="Q3" i="1"/>
  <c r="O14" i="1"/>
  <c r="P14" i="1"/>
  <c r="Q14" i="1"/>
  <c r="O2" i="1"/>
  <c r="P2" i="1"/>
  <c r="Q2" i="1"/>
  <c r="O12" i="1"/>
  <c r="P12" i="1"/>
  <c r="Q12" i="1"/>
  <c r="Q4" i="1"/>
  <c r="Q5" i="1"/>
  <c r="Q6" i="1"/>
  <c r="Q7" i="1"/>
  <c r="Q8" i="1"/>
  <c r="Q9" i="1"/>
  <c r="Q10" i="1"/>
  <c r="Q11" i="1"/>
  <c r="Q13" i="1"/>
  <c r="Q15" i="1"/>
  <c r="Q16" i="1"/>
  <c r="Q17" i="1"/>
  <c r="Q18" i="1"/>
  <c r="Q19" i="1"/>
  <c r="Q20" i="1"/>
  <c r="Q21" i="1"/>
  <c r="Q23" i="1"/>
  <c r="Q24" i="1"/>
  <c r="Q25" i="1"/>
  <c r="Q26" i="1"/>
  <c r="Q28" i="1"/>
  <c r="Q29" i="1"/>
  <c r="Q30" i="1"/>
  <c r="Q31" i="1"/>
  <c r="Q32" i="1"/>
  <c r="Q33" i="1"/>
  <c r="Q34" i="1"/>
  <c r="Q35" i="1"/>
  <c r="Q36" i="1"/>
  <c r="Q37" i="1"/>
  <c r="Q38" i="1"/>
  <c r="Q40" i="1"/>
  <c r="Q41" i="1"/>
  <c r="Q42" i="1"/>
  <c r="Q43" i="1"/>
  <c r="Q45" i="1"/>
  <c r="Q46" i="1"/>
  <c r="Q22" i="1"/>
  <c r="Q27" i="1"/>
  <c r="Q39" i="1"/>
  <c r="Q44" i="1"/>
  <c r="P4" i="1"/>
  <c r="P5" i="1"/>
  <c r="P6" i="1"/>
  <c r="P7" i="1"/>
  <c r="P8" i="1"/>
  <c r="P9" i="1"/>
  <c r="P10" i="1"/>
  <c r="P11" i="1"/>
  <c r="P13" i="1"/>
  <c r="P15" i="1"/>
  <c r="P16" i="1"/>
  <c r="P17" i="1"/>
  <c r="P18" i="1"/>
  <c r="P19" i="1"/>
  <c r="P20" i="1"/>
  <c r="P21" i="1"/>
  <c r="P23" i="1"/>
  <c r="P24" i="1"/>
  <c r="P25" i="1"/>
  <c r="P26" i="1"/>
  <c r="P28" i="1"/>
  <c r="P29" i="1"/>
  <c r="P30" i="1"/>
  <c r="P31" i="1"/>
  <c r="P32" i="1"/>
  <c r="P33" i="1"/>
  <c r="P34" i="1"/>
  <c r="P35" i="1"/>
  <c r="P36" i="1"/>
  <c r="P37" i="1"/>
  <c r="P38" i="1"/>
  <c r="P40" i="1"/>
  <c r="P41" i="1"/>
  <c r="P42" i="1"/>
  <c r="P43" i="1"/>
  <c r="P45" i="1"/>
  <c r="P46" i="1"/>
  <c r="P22" i="1"/>
  <c r="P27" i="1"/>
  <c r="P39" i="1"/>
  <c r="P44" i="1"/>
  <c r="O4" i="1"/>
  <c r="O5" i="1"/>
  <c r="O6" i="1"/>
  <c r="O7" i="1"/>
  <c r="O8" i="1"/>
  <c r="O9" i="1"/>
  <c r="O10" i="1"/>
  <c r="O11" i="1"/>
  <c r="O13" i="1"/>
  <c r="O15" i="1"/>
  <c r="O16" i="1"/>
  <c r="O17" i="1"/>
  <c r="O18" i="1"/>
  <c r="O19" i="1"/>
  <c r="O20" i="1"/>
  <c r="O21" i="1"/>
  <c r="O23" i="1"/>
  <c r="O24" i="1"/>
  <c r="O25" i="1"/>
  <c r="O26" i="1"/>
  <c r="O28" i="1"/>
  <c r="O29" i="1"/>
  <c r="O30" i="1"/>
  <c r="O31" i="1"/>
  <c r="O32" i="1"/>
  <c r="O33" i="1"/>
  <c r="O34" i="1"/>
  <c r="O35" i="1"/>
  <c r="O36" i="1"/>
  <c r="O37" i="1"/>
  <c r="O38" i="1"/>
  <c r="O40" i="1"/>
  <c r="O41" i="1"/>
  <c r="O42" i="1"/>
  <c r="O43" i="1"/>
  <c r="O45" i="1"/>
  <c r="O46" i="1"/>
  <c r="O22" i="1"/>
  <c r="O27" i="1"/>
  <c r="O39" i="1"/>
  <c r="O44" i="1"/>
</calcChain>
</file>

<file path=xl/sharedStrings.xml><?xml version="1.0" encoding="utf-8"?>
<sst xmlns="http://schemas.openxmlformats.org/spreadsheetml/2006/main" count="63" uniqueCount="63">
  <si>
    <t>Ticker</t>
  </si>
  <si>
    <t>Max close месячный до 30.03</t>
  </si>
  <si>
    <t>Drop 30% от max high</t>
  </si>
  <si>
    <t>Close 17.07</t>
  </si>
  <si>
    <t>17% growth от close</t>
  </si>
  <si>
    <t>%%margin 17%</t>
  </si>
  <si>
    <t>25% growth от close</t>
  </si>
  <si>
    <t>%%margin 25%</t>
  </si>
  <si>
    <t>Min low (июн.2022–дек.2023) ×10</t>
  </si>
  <si>
    <t>Max high за 52 недели</t>
  </si>
  <si>
    <t>Drop 20% от max high</t>
  </si>
  <si>
    <t>Drop 25% от max high</t>
  </si>
  <si>
    <t>UPSIDE</t>
  </si>
  <si>
    <t>Max close до дропа 01.07.2026</t>
  </si>
  <si>
    <t>AEIS</t>
  </si>
  <si>
    <t>ALAB</t>
  </si>
  <si>
    <t>AMAT</t>
  </si>
  <si>
    <t>AMD</t>
  </si>
  <si>
    <t>AMKR</t>
  </si>
  <si>
    <t>AMZN</t>
  </si>
  <si>
    <t>ANET</t>
  </si>
  <si>
    <t>ASML</t>
  </si>
  <si>
    <t>AVGO</t>
  </si>
  <si>
    <t>CIEN</t>
  </si>
  <si>
    <t>CLS</t>
  </si>
  <si>
    <t>COHR</t>
  </si>
  <si>
    <t>CRDO</t>
  </si>
  <si>
    <t>CSCO</t>
  </si>
  <si>
    <t>DELL</t>
  </si>
  <si>
    <t>ENTG</t>
  </si>
  <si>
    <t>GLW</t>
  </si>
  <si>
    <t>GOOGL</t>
  </si>
  <si>
    <t>HPE</t>
  </si>
  <si>
    <t>IBM</t>
  </si>
  <si>
    <t>KLAC</t>
  </si>
  <si>
    <t>LITE</t>
  </si>
  <si>
    <t>LRCX</t>
  </si>
  <si>
    <t>META</t>
  </si>
  <si>
    <t>MRVL</t>
  </si>
  <si>
    <t>MSFT</t>
  </si>
  <si>
    <t>MU</t>
  </si>
  <si>
    <t>NTAP</t>
  </si>
  <si>
    <t>NVDA</t>
  </si>
  <si>
    <t>ONTO</t>
  </si>
  <si>
    <t>ORCL</t>
  </si>
  <si>
    <t>SNDK</t>
  </si>
  <si>
    <t>SNPS</t>
  </si>
  <si>
    <t>STX</t>
  </si>
  <si>
    <t>TER</t>
  </si>
  <si>
    <t>TXN</t>
  </si>
  <si>
    <t>WDC</t>
  </si>
  <si>
    <t>^NDX</t>
  </si>
  <si>
    <t>FORM</t>
  </si>
  <si>
    <t>ICHR</t>
  </si>
  <si>
    <t>SIMO</t>
  </si>
  <si>
    <t>TTMI</t>
  </si>
  <si>
    <t>AEHR</t>
  </si>
  <si>
    <t>AXTI</t>
  </si>
  <si>
    <t>AAOI</t>
  </si>
  <si>
    <t>ATEX</t>
  </si>
  <si>
    <t>Дроп от июльского гребня</t>
  </si>
  <si>
    <t>Потенциал от close</t>
  </si>
  <si>
    <t>Падение от 52w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</si>
</sst>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" fontId="0" fillId="0" borderId="2" xfId="0" applyNumberFormat="1" applyBorder="1"/>
    <xf numFmtId="0" fontId="0" fillId="0" borderId="2" xfId="0" applyBorder="1"/>
    <xf numFmtId="9" fontId="1" fillId="0" borderId="1" xfId="0" applyNumberFormat="1" applyFont="1" applyBorder="1" applyAlignment="1">
      <alignment horizontal="center" vertical="center" wrapText="1"/>
    </xf>
    <xf numFmtId="9" fontId="0" fillId="0" borderId="0" xfId="0" applyNumberFormat="1"/>
    <xf numFmtId="4" fontId="1" fillId="0" borderId="1" xfId="0" applyNumberFormat="1" applyFont="1" applyBorder="1" applyAlignment="1">
      <alignment horizontal="center" vertical="center" wrapText="1"/>
    </xf>
    <xf numFmtId="4" fontId="0" fillId="0" borderId="0" xfId="0" applyNumberFormat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</cellXfs>
  <cellStyles count="1">
    <cellStyle name="Обычный" xfId="0" builtinId="0"/>
  </cellStyles>
  <dxfs count="3">
    <dxf>
      <numFmt numFmtId="4" formatCode="#,##0.00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ndlesReport" displayName="CandlesReport" ref="A1:Q46">
  <autoFilter ref="A1:Q46" xr:uid="{00000000-0009-0000-0100-000001000000}"/>
  <sortState xmlns:xlrd2="http://schemas.microsoft.com/office/spreadsheetml/2017/richdata2" ref="A2:Q46">
    <sortCondition ref="A1:A46"/>
  </sortState>
  <tableColumns count="17">
    <tableColumn id="1" xr3:uid="{00000000-0010-0000-0000-000001000000}" name="Ticker"/>
    <tableColumn id="2" xr3:uid="{00000000-0010-0000-0000-000002000000}" name="Max close месячный до 30.03"/>
    <tableColumn id="3" xr3:uid="{00000000-0010-0000-0000-000003000000}" name="Drop 30% от max high"/>
    <tableColumn id="4" xr3:uid="{00000000-0010-0000-0000-000004000000}" name="Close 17.07"/>
    <tableColumn id="5" xr3:uid="{00000000-0010-0000-0000-000005000000}" name="17% growth от close"/>
    <tableColumn id="6" xr3:uid="{00000000-0010-0000-0000-000006000000}" name="%%margin 17%"/>
    <tableColumn id="7" xr3:uid="{00000000-0010-0000-0000-000007000000}" name="25% growth от close"/>
    <tableColumn id="8" xr3:uid="{00000000-0010-0000-0000-000008000000}" name="%%margin 25%"/>
    <tableColumn id="9" xr3:uid="{00000000-0010-0000-0000-000009000000}" name="Min low (июн.2022–дек.2023) ×10"/>
    <tableColumn id="10" xr3:uid="{00000000-0010-0000-0000-00000A000000}" name="Max high за 52 недели"/>
    <tableColumn id="11" xr3:uid="{00000000-0010-0000-0000-00000B000000}" name="Drop 20% от max high"/>
    <tableColumn id="12" xr3:uid="{00000000-0010-0000-0000-00000C000000}" name="Drop 25% от max high"/>
    <tableColumn id="13" xr3:uid="{00000000-0010-0000-0000-00000D000000}" name="UPSIDE"/>
    <tableColumn id="14" xr3:uid="{00000000-0010-0000-0000-00000E000000}" name="Max close до дропа 01.07.2026"/>
    <tableColumn id="15" xr3:uid="{33FC8065-9E2A-5140-8E4A-723EC8BC9ECF}" name="Дроп от июльского гребня" dataDxfId="2">
      <calculatedColumnFormula>CandlesReport[[#This Row],[Close 17.07]]/CandlesReport[[#This Row],[Max close до дропа 01.07.2026]]-1</calculatedColumnFormula>
    </tableColumn>
    <tableColumn id="16" xr3:uid="{84091D09-0983-7D4D-A469-222E64B5D442}" name="Потенциал от close" dataDxfId="0">
      <calculatedColumnFormula>CandlesReport[[#This Row],[Min low (июн.2022–дек.2023) ×10]]/CandlesReport[[#This Row],[Close 17.07]]</calculatedColumnFormula>
    </tableColumn>
    <tableColumn id="17" xr3:uid="{3C061677-956A-004F-9D99-3186676D6A1C}" name="Падение от 52w high" dataDxfId="1">
      <calculatedColumnFormula>CandlesReport[[#This Row],[Close 17.07]]/CandlesReport[[#This Row],[Max high за 52 недели]]-1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"/>
  <sheetViews>
    <sheetView tabSelected="1" workbookViewId="0">
      <pane ySplit="1" topLeftCell="A2" activePane="bottomLeft" state="frozen"/>
      <selection pane="bottomLeft" activeCell="A49" sqref="A49:XFD49"/>
    </sheetView>
  </sheetViews>
  <sheetFormatPr baseColWidth="10" defaultColWidth="8.83203125" defaultRowHeight="15" x14ac:dyDescent="0.2"/>
  <cols>
    <col min="1" max="1" width="12.6640625" customWidth="1"/>
    <col min="2" max="2" width="12.33203125" customWidth="1"/>
    <col min="3" max="3" width="15.83203125" customWidth="1"/>
    <col min="4" max="4" width="15.33203125" customWidth="1"/>
    <col min="5" max="5" width="14.5" customWidth="1"/>
    <col min="6" max="6" width="16" customWidth="1"/>
    <col min="7" max="7" width="16.1640625" customWidth="1"/>
    <col min="8" max="8" width="13.1640625" customWidth="1"/>
    <col min="9" max="9" width="16.5" customWidth="1"/>
    <col min="10" max="10" width="15.5" customWidth="1"/>
    <col min="11" max="11" width="13.83203125" customWidth="1"/>
    <col min="12" max="12" width="15" customWidth="1"/>
    <col min="13" max="13" width="12.5" customWidth="1"/>
    <col min="14" max="14" width="16.5" customWidth="1"/>
    <col min="15" max="15" width="8.83203125" style="5"/>
    <col min="16" max="16" width="8.83203125" style="7"/>
    <col min="17" max="17" width="8.83203125" style="5"/>
  </cols>
  <sheetData>
    <row r="1" spans="1:17" ht="4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60</v>
      </c>
      <c r="P1" s="6" t="s">
        <v>61</v>
      </c>
      <c r="Q1" s="4" t="s">
        <v>62</v>
      </c>
    </row>
    <row r="2" spans="1:17" x14ac:dyDescent="0.2">
      <c r="A2" s="3" t="s">
        <v>58</v>
      </c>
      <c r="B2" s="2">
        <v>85.19</v>
      </c>
      <c r="C2" s="2">
        <v>163.57</v>
      </c>
      <c r="D2" s="2">
        <v>102.41</v>
      </c>
      <c r="E2" s="2">
        <v>119.82</v>
      </c>
      <c r="F2" s="2">
        <v>0.73</v>
      </c>
      <c r="G2" s="2">
        <v>128.01</v>
      </c>
      <c r="H2" s="2">
        <v>0.78</v>
      </c>
      <c r="I2" s="2">
        <v>14.8</v>
      </c>
      <c r="J2" s="2">
        <v>233.67</v>
      </c>
      <c r="K2" s="2">
        <v>186.94</v>
      </c>
      <c r="L2" s="2">
        <v>175.25</v>
      </c>
      <c r="M2" s="2">
        <v>0.06</v>
      </c>
      <c r="N2" s="2">
        <v>223.1</v>
      </c>
      <c r="O2" s="5">
        <f>CandlesReport[[#This Row],[Close 17.07]]/CandlesReport[[#This Row],[Max close до дропа 01.07.2026]]-1</f>
        <v>-0.54096817570596145</v>
      </c>
      <c r="P2" s="7">
        <f>CandlesReport[[#This Row],[Min low (июн.2022–дек.2023) ×10]]/CandlesReport[[#This Row],[Close 17.07]]</f>
        <v>0.14451713699834001</v>
      </c>
      <c r="Q2" s="5">
        <f>CandlesReport[[#This Row],[Close 17.07]]/CandlesReport[[#This Row],[Max high за 52 недели]]-1</f>
        <v>-0.56173235759832241</v>
      </c>
    </row>
    <row r="3" spans="1:17" x14ac:dyDescent="0.2">
      <c r="A3" s="3" t="s">
        <v>56</v>
      </c>
      <c r="B3" s="2">
        <v>52.16</v>
      </c>
      <c r="C3" s="2">
        <v>88.63</v>
      </c>
      <c r="D3" s="2">
        <v>81.05</v>
      </c>
      <c r="E3" s="2">
        <v>94.83</v>
      </c>
      <c r="F3" s="2">
        <v>1.07</v>
      </c>
      <c r="G3" s="2">
        <v>101.31</v>
      </c>
      <c r="H3" s="2">
        <v>1.1399999999999999</v>
      </c>
      <c r="I3" s="2">
        <v>67.099999999999994</v>
      </c>
      <c r="J3" s="2">
        <v>126.62</v>
      </c>
      <c r="K3" s="2">
        <v>101.3</v>
      </c>
      <c r="L3" s="2">
        <v>94.97</v>
      </c>
      <c r="M3" s="2">
        <v>0.53</v>
      </c>
      <c r="N3" s="2">
        <v>116.58</v>
      </c>
      <c r="O3" s="5">
        <f>CandlesReport[[#This Row],[Close 17.07]]/CandlesReport[[#This Row],[Max close до дропа 01.07.2026]]-1</f>
        <v>-0.30476925716246361</v>
      </c>
      <c r="P3" s="7">
        <f>CandlesReport[[#This Row],[Min low (июн.2022–дек.2023) ×10]]/CandlesReport[[#This Row],[Close 17.07]]</f>
        <v>0.8278840222085132</v>
      </c>
      <c r="Q3" s="5">
        <f>CandlesReport[[#This Row],[Close 17.07]]/CandlesReport[[#This Row],[Max high за 52 недели]]-1</f>
        <v>-0.35989575106618232</v>
      </c>
    </row>
    <row r="4" spans="1:17" x14ac:dyDescent="0.2">
      <c r="A4" s="3" t="s">
        <v>14</v>
      </c>
      <c r="B4" s="2">
        <v>335.57</v>
      </c>
      <c r="C4" s="2">
        <v>278.20999999999998</v>
      </c>
      <c r="D4" s="2">
        <v>284.05</v>
      </c>
      <c r="E4" s="2">
        <v>332.34</v>
      </c>
      <c r="F4" s="2">
        <v>1.19</v>
      </c>
      <c r="G4" s="2">
        <v>355.06</v>
      </c>
      <c r="H4" s="2">
        <v>1.28</v>
      </c>
      <c r="I4" s="2">
        <v>675.5</v>
      </c>
      <c r="J4" s="2">
        <v>397.44</v>
      </c>
      <c r="K4" s="2">
        <v>317.95</v>
      </c>
      <c r="L4" s="2">
        <v>298.08</v>
      </c>
      <c r="M4" s="2">
        <v>1.7</v>
      </c>
      <c r="N4" s="2">
        <v>389.05</v>
      </c>
      <c r="O4" s="5">
        <f>CandlesReport[[#This Row],[Close 17.07]]/CandlesReport[[#This Row],[Max close до дропа 01.07.2026]]-1</f>
        <v>-0.26988818917876878</v>
      </c>
      <c r="P4" s="7">
        <f>CandlesReport[[#This Row],[Min low (июн.2022–дек.2023) ×10]]/CandlesReport[[#This Row],[Close 17.07]]</f>
        <v>2.3781024467523322</v>
      </c>
      <c r="Q4" s="5">
        <f>CandlesReport[[#This Row],[Close 17.07]]/CandlesReport[[#This Row],[Max high за 52 недели]]-1</f>
        <v>-0.28530092592592593</v>
      </c>
    </row>
    <row r="5" spans="1:17" x14ac:dyDescent="0.2">
      <c r="A5" s="3" t="s">
        <v>15</v>
      </c>
      <c r="B5" s="2">
        <v>195.8</v>
      </c>
      <c r="C5" s="2">
        <v>349.63</v>
      </c>
      <c r="D5" s="2">
        <v>303.62</v>
      </c>
      <c r="E5" s="2">
        <v>355.24</v>
      </c>
      <c r="F5" s="2">
        <v>1.02</v>
      </c>
      <c r="G5" s="2">
        <v>379.52</v>
      </c>
      <c r="H5" s="2">
        <v>1.0900000000000001</v>
      </c>
      <c r="I5" s="2">
        <v>0</v>
      </c>
      <c r="J5" s="2">
        <v>499.48</v>
      </c>
      <c r="K5" s="2">
        <v>399.58</v>
      </c>
      <c r="L5" s="2">
        <v>374.61</v>
      </c>
      <c r="M5" s="2">
        <v>0</v>
      </c>
      <c r="N5" s="2">
        <v>483.02</v>
      </c>
      <c r="O5" s="5">
        <f>CandlesReport[[#This Row],[Close 17.07]]/CandlesReport[[#This Row],[Max close до дропа 01.07.2026]]-1</f>
        <v>-0.37141319200033118</v>
      </c>
      <c r="P5" s="7">
        <f>CandlesReport[[#This Row],[Min low (июн.2022–дек.2023) ×10]]/CandlesReport[[#This Row],[Close 17.07]]</f>
        <v>0</v>
      </c>
      <c r="Q5" s="5">
        <f>CandlesReport[[#This Row],[Close 17.07]]/CandlesReport[[#This Row],[Max high за 52 недели]]-1</f>
        <v>-0.39212781292544252</v>
      </c>
    </row>
    <row r="6" spans="1:17" x14ac:dyDescent="0.2">
      <c r="A6" s="3" t="s">
        <v>16</v>
      </c>
      <c r="B6" s="2">
        <v>372.3</v>
      </c>
      <c r="C6" s="2">
        <v>517.77</v>
      </c>
      <c r="D6" s="2">
        <v>529.66</v>
      </c>
      <c r="E6" s="2">
        <v>619.70000000000005</v>
      </c>
      <c r="F6" s="2">
        <v>1.2</v>
      </c>
      <c r="G6" s="2">
        <v>662.07</v>
      </c>
      <c r="H6" s="2">
        <v>1.28</v>
      </c>
      <c r="I6" s="2">
        <v>711.2</v>
      </c>
      <c r="J6" s="2">
        <v>739.67</v>
      </c>
      <c r="K6" s="2">
        <v>591.74</v>
      </c>
      <c r="L6" s="2">
        <v>554.75</v>
      </c>
      <c r="M6" s="2">
        <v>0.96</v>
      </c>
      <c r="N6" s="2">
        <v>723</v>
      </c>
      <c r="O6" s="5">
        <f>CandlesReport[[#This Row],[Close 17.07]]/CandlesReport[[#This Row],[Max close до дропа 01.07.2026]]-1</f>
        <v>-0.26741355463347172</v>
      </c>
      <c r="P6" s="7">
        <f>CandlesReport[[#This Row],[Min low (июн.2022–дек.2023) ×10]]/CandlesReport[[#This Row],[Close 17.07]]</f>
        <v>1.342748178076502</v>
      </c>
      <c r="Q6" s="5">
        <f>CandlesReport[[#This Row],[Close 17.07]]/CandlesReport[[#This Row],[Max high за 52 недели]]-1</f>
        <v>-0.28392391201481737</v>
      </c>
    </row>
    <row r="7" spans="1:17" x14ac:dyDescent="0.2">
      <c r="A7" s="3" t="s">
        <v>17</v>
      </c>
      <c r="B7" s="2">
        <v>256.12</v>
      </c>
      <c r="C7" s="2">
        <v>409.31</v>
      </c>
      <c r="D7" s="2">
        <v>495.76</v>
      </c>
      <c r="E7" s="2">
        <v>580.04</v>
      </c>
      <c r="F7" s="2">
        <v>1.42</v>
      </c>
      <c r="G7" s="2">
        <v>619.70000000000005</v>
      </c>
      <c r="H7" s="2">
        <v>1.51</v>
      </c>
      <c r="I7" s="2">
        <v>545.70000000000005</v>
      </c>
      <c r="J7" s="2">
        <v>584.73</v>
      </c>
      <c r="K7" s="2">
        <v>467.78</v>
      </c>
      <c r="L7" s="2">
        <v>438.55</v>
      </c>
      <c r="M7" s="2">
        <v>0.93</v>
      </c>
      <c r="N7" s="2">
        <v>580.91</v>
      </c>
      <c r="O7" s="5">
        <f>CandlesReport[[#This Row],[Close 17.07]]/CandlesReport[[#This Row],[Max close до дропа 01.07.2026]]-1</f>
        <v>-0.14658036528894314</v>
      </c>
      <c r="P7" s="7">
        <f>CandlesReport[[#This Row],[Min low (июн.2022–дек.2023) ×10]]/CandlesReport[[#This Row],[Close 17.07]]</f>
        <v>1.1007342262385027</v>
      </c>
      <c r="Q7" s="5">
        <f>CandlesReport[[#This Row],[Close 17.07]]/CandlesReport[[#This Row],[Max high за 52 недели]]-1</f>
        <v>-0.1521556957912199</v>
      </c>
    </row>
    <row r="8" spans="1:17" x14ac:dyDescent="0.2">
      <c r="A8" s="3" t="s">
        <v>18</v>
      </c>
      <c r="B8" s="2">
        <v>48.33</v>
      </c>
      <c r="C8" s="2">
        <v>67.680000000000007</v>
      </c>
      <c r="D8" s="2">
        <v>62.94</v>
      </c>
      <c r="E8" s="2">
        <v>73.64</v>
      </c>
      <c r="F8" s="2">
        <v>1.0900000000000001</v>
      </c>
      <c r="G8" s="2">
        <v>78.67</v>
      </c>
      <c r="H8" s="2">
        <v>1.1599999999999999</v>
      </c>
      <c r="I8" s="2">
        <v>148.9</v>
      </c>
      <c r="J8" s="2">
        <v>96.68</v>
      </c>
      <c r="K8" s="2">
        <v>77.34</v>
      </c>
      <c r="L8" s="2">
        <v>72.510000000000005</v>
      </c>
      <c r="M8" s="2">
        <v>1.54</v>
      </c>
      <c r="N8" s="2">
        <v>93.55</v>
      </c>
      <c r="O8" s="5">
        <f>CandlesReport[[#This Row],[Close 17.07]]/CandlesReport[[#This Row],[Max close до дропа 01.07.2026]]-1</f>
        <v>-0.32720470336718332</v>
      </c>
      <c r="P8" s="7">
        <f>CandlesReport[[#This Row],[Min low (июн.2022–дек.2023) ×10]]/CandlesReport[[#This Row],[Close 17.07]]</f>
        <v>2.3657451541150305</v>
      </c>
      <c r="Q8" s="5">
        <f>CandlesReport[[#This Row],[Close 17.07]]/CandlesReport[[#This Row],[Max high за 52 недели]]-1</f>
        <v>-0.34898634671079853</v>
      </c>
    </row>
    <row r="9" spans="1:17" x14ac:dyDescent="0.2">
      <c r="A9" s="3" t="s">
        <v>19</v>
      </c>
      <c r="B9" s="2">
        <v>244.22</v>
      </c>
      <c r="C9" s="2">
        <v>194.99</v>
      </c>
      <c r="D9" s="2">
        <v>247.23</v>
      </c>
      <c r="E9" s="2">
        <v>289.26</v>
      </c>
      <c r="F9" s="2">
        <v>1.48</v>
      </c>
      <c r="G9" s="2">
        <v>309.04000000000002</v>
      </c>
      <c r="H9" s="2">
        <v>1.58</v>
      </c>
      <c r="I9" s="2">
        <v>814.3</v>
      </c>
      <c r="J9" s="2">
        <v>278.56</v>
      </c>
      <c r="K9" s="2">
        <v>222.85</v>
      </c>
      <c r="L9" s="2">
        <v>208.92</v>
      </c>
      <c r="M9" s="2">
        <v>2.92</v>
      </c>
      <c r="N9" s="2">
        <v>274.99</v>
      </c>
      <c r="O9" s="5">
        <f>CandlesReport[[#This Row],[Close 17.07]]/CandlesReport[[#This Row],[Max close до дропа 01.07.2026]]-1</f>
        <v>-0.1009491254227427</v>
      </c>
      <c r="P9" s="7">
        <f>CandlesReport[[#This Row],[Min low (июн.2022–дек.2023) ×10]]/CandlesReport[[#This Row],[Close 17.07]]</f>
        <v>3.2936941309711605</v>
      </c>
      <c r="Q9" s="5">
        <f>CandlesReport[[#This Row],[Close 17.07]]/CandlesReport[[#This Row],[Max high за 52 недели]]-1</f>
        <v>-0.11247128087306146</v>
      </c>
    </row>
    <row r="10" spans="1:17" x14ac:dyDescent="0.2">
      <c r="A10" s="10" t="s">
        <v>20</v>
      </c>
      <c r="B10" s="2">
        <v>157.69</v>
      </c>
      <c r="C10" s="2">
        <v>132.87</v>
      </c>
      <c r="D10" s="2">
        <v>168.61</v>
      </c>
      <c r="E10" s="2">
        <v>197.27</v>
      </c>
      <c r="F10" s="2">
        <v>1.48</v>
      </c>
      <c r="G10" s="2">
        <v>210.76</v>
      </c>
      <c r="H10" s="2">
        <v>1.59</v>
      </c>
      <c r="I10" s="2">
        <v>222.79</v>
      </c>
      <c r="J10" s="2">
        <v>189.82</v>
      </c>
      <c r="K10" s="2">
        <v>151.85</v>
      </c>
      <c r="L10" s="2">
        <v>142.36000000000001</v>
      </c>
      <c r="M10" s="2">
        <v>1.17</v>
      </c>
      <c r="N10" s="2">
        <v>177.73</v>
      </c>
      <c r="O10" s="5">
        <f>CandlesReport[[#This Row],[Close 17.07]]/CandlesReport[[#This Row],[Max close до дропа 01.07.2026]]-1</f>
        <v>-5.1313790581218544E-2</v>
      </c>
      <c r="P10" s="7">
        <f>CandlesReport[[#This Row],[Min low (июн.2022–дек.2023) ×10]]/CandlesReport[[#This Row],[Close 17.07]]</f>
        <v>1.3213332542553822</v>
      </c>
      <c r="Q10" s="5">
        <f>CandlesReport[[#This Row],[Close 17.07]]/CandlesReport[[#This Row],[Max high за 52 недели]]-1</f>
        <v>-0.11173743546517745</v>
      </c>
    </row>
    <row r="11" spans="1:17" x14ac:dyDescent="0.2">
      <c r="A11" s="8" t="s">
        <v>21</v>
      </c>
      <c r="B11" s="2">
        <v>1450.56</v>
      </c>
      <c r="C11" s="2">
        <v>1399.97</v>
      </c>
      <c r="D11" s="2">
        <v>1747.58</v>
      </c>
      <c r="E11" s="2">
        <v>2044.67</v>
      </c>
      <c r="F11" s="2">
        <v>1.46</v>
      </c>
      <c r="G11" s="2">
        <v>2184.4699999999998</v>
      </c>
      <c r="H11" s="2">
        <v>1.56</v>
      </c>
      <c r="I11" s="2">
        <v>3631.5</v>
      </c>
      <c r="J11" s="2">
        <v>1999.96</v>
      </c>
      <c r="K11" s="2">
        <v>1599.97</v>
      </c>
      <c r="L11" s="2">
        <v>1499.97</v>
      </c>
      <c r="M11" s="2">
        <v>1.82</v>
      </c>
      <c r="N11" s="2">
        <v>1989.44</v>
      </c>
      <c r="O11" s="5">
        <f>CandlesReport[[#This Row],[Close 17.07]]/CandlesReport[[#This Row],[Max close до дропа 01.07.2026]]-1</f>
        <v>-0.12157189963004666</v>
      </c>
      <c r="P11" s="7">
        <f>CandlesReport[[#This Row],[Min low (июн.2022–дек.2023) ×10]]/CandlesReport[[#This Row],[Close 17.07]]</f>
        <v>2.0780164570434545</v>
      </c>
      <c r="Q11" s="5">
        <f>CandlesReport[[#This Row],[Close 17.07]]/CandlesReport[[#This Row],[Max high за 52 недели]]-1</f>
        <v>-0.12619252385047708</v>
      </c>
    </row>
    <row r="12" spans="1:17" x14ac:dyDescent="0.2">
      <c r="A12" s="3" t="s">
        <v>59</v>
      </c>
      <c r="B12" s="2">
        <v>57.9</v>
      </c>
      <c r="C12" s="2">
        <v>78.33</v>
      </c>
      <c r="D12" s="2">
        <v>100.35</v>
      </c>
      <c r="E12" s="2">
        <v>117.41</v>
      </c>
      <c r="F12" s="2">
        <v>1.5</v>
      </c>
      <c r="G12" s="2">
        <v>125.44</v>
      </c>
      <c r="H12" s="2">
        <v>1.6</v>
      </c>
      <c r="I12" s="2">
        <v>272</v>
      </c>
      <c r="J12" s="2">
        <v>111.9</v>
      </c>
      <c r="K12" s="2">
        <v>89.52</v>
      </c>
      <c r="L12" s="2">
        <v>83.93</v>
      </c>
      <c r="M12" s="2">
        <v>2.4300000000000002</v>
      </c>
      <c r="N12" s="2">
        <v>108.21</v>
      </c>
      <c r="O12" s="5">
        <f>CandlesReport[[#This Row],[Close 17.07]]/CandlesReport[[#This Row],[Max close до дропа 01.07.2026]]-1</f>
        <v>-7.2636540060992516E-2</v>
      </c>
      <c r="P12" s="7">
        <f>CandlesReport[[#This Row],[Min low (июн.2022–дек.2023) ×10]]/CandlesReport[[#This Row],[Close 17.07]]</f>
        <v>2.7105132037867468</v>
      </c>
      <c r="Q12" s="5">
        <f>CandlesReport[[#This Row],[Close 17.07]]/CandlesReport[[#This Row],[Max high за 52 недели]]-1</f>
        <v>-0.10321715817694377</v>
      </c>
    </row>
    <row r="13" spans="1:17" x14ac:dyDescent="0.2">
      <c r="A13" s="3" t="s">
        <v>22</v>
      </c>
      <c r="B13" s="2">
        <v>402.96</v>
      </c>
      <c r="C13" s="2">
        <v>346.5</v>
      </c>
      <c r="D13" s="2">
        <v>370.83</v>
      </c>
      <c r="E13" s="2">
        <v>433.87</v>
      </c>
      <c r="F13" s="2">
        <v>1.25</v>
      </c>
      <c r="G13" s="2">
        <v>463.54</v>
      </c>
      <c r="H13" s="2">
        <v>1.34</v>
      </c>
      <c r="I13" s="2">
        <v>415.07</v>
      </c>
      <c r="J13" s="2">
        <v>495</v>
      </c>
      <c r="K13" s="2">
        <v>396</v>
      </c>
      <c r="L13" s="2">
        <v>371.25</v>
      </c>
      <c r="M13" s="2">
        <v>0.84</v>
      </c>
      <c r="N13" s="2">
        <v>481.57</v>
      </c>
      <c r="O13" s="5">
        <f>CandlesReport[[#This Row],[Close 17.07]]/CandlesReport[[#This Row],[Max close до дропа 01.07.2026]]-1</f>
        <v>-0.22995618497830017</v>
      </c>
      <c r="P13" s="7">
        <f>CandlesReport[[#This Row],[Min low (июн.2022–дек.2023) ×10]]/CandlesReport[[#This Row],[Close 17.07]]</f>
        <v>1.1192999487635844</v>
      </c>
      <c r="Q13" s="5">
        <f>CandlesReport[[#This Row],[Close 17.07]]/CandlesReport[[#This Row],[Max high за 52 недели]]-1</f>
        <v>-0.25084848484848488</v>
      </c>
    </row>
    <row r="14" spans="1:17" x14ac:dyDescent="0.2">
      <c r="A14" s="3" t="s">
        <v>57</v>
      </c>
      <c r="B14" s="2">
        <v>52.73</v>
      </c>
      <c r="C14" s="2">
        <v>100.21</v>
      </c>
      <c r="D14" s="2">
        <v>45.86</v>
      </c>
      <c r="E14" s="2">
        <v>53.66</v>
      </c>
      <c r="F14" s="2">
        <v>0.54</v>
      </c>
      <c r="G14" s="2">
        <v>57.33</v>
      </c>
      <c r="H14" s="2">
        <v>0.56999999999999995</v>
      </c>
      <c r="I14" s="2">
        <v>18.899999999999999</v>
      </c>
      <c r="J14" s="2">
        <v>143.16</v>
      </c>
      <c r="K14" s="2">
        <v>114.53</v>
      </c>
      <c r="L14" s="2">
        <v>107.37</v>
      </c>
      <c r="M14" s="2">
        <v>0.13</v>
      </c>
      <c r="N14" s="2">
        <v>140.83000000000001</v>
      </c>
      <c r="O14" s="5">
        <f>CandlesReport[[#This Row],[Close 17.07]]/CandlesReport[[#This Row],[Max close до дропа 01.07.2026]]-1</f>
        <v>-0.67435915642973798</v>
      </c>
      <c r="P14" s="7">
        <f>CandlesReport[[#This Row],[Min low (июн.2022–дек.2023) ×10]]/CandlesReport[[#This Row],[Close 17.07]]</f>
        <v>0.41212385521151329</v>
      </c>
      <c r="Q14" s="5">
        <f>CandlesReport[[#This Row],[Close 17.07]]/CandlesReport[[#This Row],[Max high за 52 недели]]-1</f>
        <v>-0.67965912265996087</v>
      </c>
    </row>
    <row r="15" spans="1:17" x14ac:dyDescent="0.2">
      <c r="A15" s="3" t="s">
        <v>23</v>
      </c>
      <c r="B15" s="2">
        <v>365</v>
      </c>
      <c r="C15" s="2">
        <v>446.26</v>
      </c>
      <c r="D15" s="2">
        <v>374.41</v>
      </c>
      <c r="E15" s="2">
        <v>438.06</v>
      </c>
      <c r="F15" s="2">
        <v>0.98</v>
      </c>
      <c r="G15" s="2">
        <v>468.01</v>
      </c>
      <c r="H15" s="2">
        <v>1.05</v>
      </c>
      <c r="I15" s="2">
        <v>383.3</v>
      </c>
      <c r="J15" s="2">
        <v>637.51</v>
      </c>
      <c r="K15" s="2">
        <v>510.01</v>
      </c>
      <c r="L15" s="2">
        <v>478.13</v>
      </c>
      <c r="M15" s="2">
        <v>0.6</v>
      </c>
      <c r="N15" s="2">
        <v>627</v>
      </c>
      <c r="O15" s="5">
        <f>CandlesReport[[#This Row],[Close 17.07]]/CandlesReport[[#This Row],[Max close до дропа 01.07.2026]]-1</f>
        <v>-0.4028548644338118</v>
      </c>
      <c r="P15" s="7">
        <f>CandlesReport[[#This Row],[Min low (июн.2022–дек.2023) ×10]]/CandlesReport[[#This Row],[Close 17.07]]</f>
        <v>1.0237440239309847</v>
      </c>
      <c r="Q15" s="5">
        <f>CandlesReport[[#This Row],[Close 17.07]]/CandlesReport[[#This Row],[Max high за 52 недели]]-1</f>
        <v>-0.41269940863672727</v>
      </c>
    </row>
    <row r="16" spans="1:17" x14ac:dyDescent="0.2">
      <c r="A16" s="3" t="s">
        <v>24</v>
      </c>
      <c r="B16" s="2">
        <v>344.48</v>
      </c>
      <c r="C16" s="2">
        <v>331.82</v>
      </c>
      <c r="D16" s="2">
        <v>301.33999999999997</v>
      </c>
      <c r="E16" s="2">
        <v>352.57</v>
      </c>
      <c r="F16" s="2">
        <v>1.06</v>
      </c>
      <c r="G16" s="2">
        <v>376.67</v>
      </c>
      <c r="H16" s="2">
        <v>1.1399999999999999</v>
      </c>
      <c r="I16" s="2">
        <v>82.1</v>
      </c>
      <c r="J16" s="2">
        <v>474.03</v>
      </c>
      <c r="K16" s="2">
        <v>379.22</v>
      </c>
      <c r="L16" s="2">
        <v>355.52</v>
      </c>
      <c r="M16" s="2">
        <v>0.17</v>
      </c>
      <c r="N16" s="2">
        <v>472.4</v>
      </c>
      <c r="O16" s="5">
        <f>CandlesReport[[#This Row],[Close 17.07]]/CandlesReport[[#This Row],[Max close до дропа 01.07.2026]]-1</f>
        <v>-0.36210838272650303</v>
      </c>
      <c r="P16" s="7">
        <f>CandlesReport[[#This Row],[Min low (июн.2022–дек.2023) ×10]]/CandlesReport[[#This Row],[Close 17.07]]</f>
        <v>0.27244972456361588</v>
      </c>
      <c r="Q16" s="5">
        <f>CandlesReport[[#This Row],[Close 17.07]]/CandlesReport[[#This Row],[Max high за 52 недели]]-1</f>
        <v>-0.36430183743644917</v>
      </c>
    </row>
    <row r="17" spans="1:17" x14ac:dyDescent="0.2">
      <c r="A17" s="3" t="s">
        <v>25</v>
      </c>
      <c r="B17" s="2">
        <v>258.93</v>
      </c>
      <c r="C17" s="2">
        <v>308</v>
      </c>
      <c r="D17" s="2">
        <v>277.60000000000002</v>
      </c>
      <c r="E17" s="2">
        <v>324.79000000000002</v>
      </c>
      <c r="F17" s="2">
        <v>1.05</v>
      </c>
      <c r="G17" s="2">
        <v>347</v>
      </c>
      <c r="H17" s="2">
        <v>1.1299999999999999</v>
      </c>
      <c r="I17" s="2">
        <v>262.89999999999998</v>
      </c>
      <c r="J17" s="2">
        <v>440</v>
      </c>
      <c r="K17" s="2">
        <v>352</v>
      </c>
      <c r="L17" s="2">
        <v>330</v>
      </c>
      <c r="M17" s="2">
        <v>0.6</v>
      </c>
      <c r="N17" s="2">
        <v>426.89</v>
      </c>
      <c r="O17" s="5">
        <f>CandlesReport[[#This Row],[Close 17.07]]/CandlesReport[[#This Row],[Max close до дропа 01.07.2026]]-1</f>
        <v>-0.34971538335402552</v>
      </c>
      <c r="P17" s="7">
        <f>CandlesReport[[#This Row],[Min low (июн.2022–дек.2023) ×10]]/CandlesReport[[#This Row],[Close 17.07]]</f>
        <v>0.94704610951008628</v>
      </c>
      <c r="Q17" s="5">
        <f>CandlesReport[[#This Row],[Close 17.07]]/CandlesReport[[#This Row],[Max high за 52 недели]]-1</f>
        <v>-0.36909090909090903</v>
      </c>
    </row>
    <row r="18" spans="1:17" x14ac:dyDescent="0.2">
      <c r="A18" s="3" t="s">
        <v>26</v>
      </c>
      <c r="B18" s="2">
        <v>187.62</v>
      </c>
      <c r="C18" s="2">
        <v>216.07</v>
      </c>
      <c r="D18" s="2">
        <v>202.68</v>
      </c>
      <c r="E18" s="2">
        <v>237.14</v>
      </c>
      <c r="F18" s="2">
        <v>1.1000000000000001</v>
      </c>
      <c r="G18" s="2">
        <v>253.35</v>
      </c>
      <c r="H18" s="2">
        <v>1.17</v>
      </c>
      <c r="I18" s="2">
        <v>71.95</v>
      </c>
      <c r="J18" s="2">
        <v>308.67</v>
      </c>
      <c r="K18" s="2">
        <v>246.94</v>
      </c>
      <c r="L18" s="2">
        <v>231.5</v>
      </c>
      <c r="M18" s="2">
        <v>0.23</v>
      </c>
      <c r="N18" s="2">
        <v>302.52</v>
      </c>
      <c r="O18" s="5">
        <f>CandlesReport[[#This Row],[Close 17.07]]/CandlesReport[[#This Row],[Max close до дропа 01.07.2026]]-1</f>
        <v>-0.33002776675922252</v>
      </c>
      <c r="P18" s="7">
        <f>CandlesReport[[#This Row],[Min low (июн.2022–дек.2023) ×10]]/CandlesReport[[#This Row],[Close 17.07]]</f>
        <v>0.35499309255970002</v>
      </c>
      <c r="Q18" s="5">
        <f>CandlesReport[[#This Row],[Close 17.07]]/CandlesReport[[#This Row],[Max high за 52 недели]]-1</f>
        <v>-0.34337642142093494</v>
      </c>
    </row>
    <row r="19" spans="1:17" x14ac:dyDescent="0.2">
      <c r="A19" s="3" t="s">
        <v>27</v>
      </c>
      <c r="B19" s="2">
        <v>79.459999999999994</v>
      </c>
      <c r="C19" s="2">
        <v>91.26</v>
      </c>
      <c r="D19" s="2">
        <v>111.94</v>
      </c>
      <c r="E19" s="2">
        <v>130.97</v>
      </c>
      <c r="F19" s="2">
        <v>1.44</v>
      </c>
      <c r="G19" s="2">
        <v>139.93</v>
      </c>
      <c r="H19" s="2">
        <v>1.53</v>
      </c>
      <c r="I19" s="2">
        <v>386</v>
      </c>
      <c r="J19" s="2">
        <v>130.37</v>
      </c>
      <c r="K19" s="2">
        <v>104.3</v>
      </c>
      <c r="L19" s="2">
        <v>97.78</v>
      </c>
      <c r="M19" s="2">
        <v>2.96</v>
      </c>
      <c r="N19" s="2">
        <v>130</v>
      </c>
      <c r="O19" s="5">
        <f>CandlesReport[[#This Row],[Close 17.07]]/CandlesReport[[#This Row],[Max close до дропа 01.07.2026]]-1</f>
        <v>-0.13892307692307693</v>
      </c>
      <c r="P19" s="7">
        <f>CandlesReport[[#This Row],[Min low (июн.2022–дек.2023) ×10]]/CandlesReport[[#This Row],[Close 17.07]]</f>
        <v>3.4482758620689657</v>
      </c>
      <c r="Q19" s="5">
        <f>CandlesReport[[#This Row],[Close 17.07]]/CandlesReport[[#This Row],[Max high за 52 недели]]-1</f>
        <v>-0.14136687888317867</v>
      </c>
    </row>
    <row r="20" spans="1:17" x14ac:dyDescent="0.2">
      <c r="A20" s="3" t="s">
        <v>28</v>
      </c>
      <c r="B20" s="2">
        <v>164.66</v>
      </c>
      <c r="C20" s="2">
        <v>328.63</v>
      </c>
      <c r="D20" s="2">
        <v>396.34</v>
      </c>
      <c r="E20" s="2">
        <v>463.72</v>
      </c>
      <c r="F20" s="2">
        <v>1.41</v>
      </c>
      <c r="G20" s="2">
        <v>495.42</v>
      </c>
      <c r="H20" s="2">
        <v>1.51</v>
      </c>
      <c r="I20" s="2">
        <v>329</v>
      </c>
      <c r="J20" s="2">
        <v>469.47</v>
      </c>
      <c r="K20" s="2">
        <v>375.58</v>
      </c>
      <c r="L20" s="2">
        <v>352.1</v>
      </c>
      <c r="M20" s="2">
        <v>0.7</v>
      </c>
      <c r="N20" s="2">
        <v>465.96</v>
      </c>
      <c r="O20" s="5">
        <f>CandlesReport[[#This Row],[Close 17.07]]/CandlesReport[[#This Row],[Max close до дропа 01.07.2026]]-1</f>
        <v>-0.14941196669241996</v>
      </c>
      <c r="P20" s="7">
        <f>CandlesReport[[#This Row],[Min low (июн.2022–дек.2023) ×10]]/CandlesReport[[#This Row],[Close 17.07]]</f>
        <v>0.83009537265983757</v>
      </c>
      <c r="Q20" s="5">
        <f>CandlesReport[[#This Row],[Close 17.07]]/CandlesReport[[#This Row],[Max high за 52 недели]]-1</f>
        <v>-0.1557714017935119</v>
      </c>
    </row>
    <row r="21" spans="1:17" x14ac:dyDescent="0.2">
      <c r="A21" s="3" t="s">
        <v>29</v>
      </c>
      <c r="B21" s="2">
        <v>140.54</v>
      </c>
      <c r="C21" s="2">
        <v>130.86000000000001</v>
      </c>
      <c r="D21" s="2">
        <v>138.74</v>
      </c>
      <c r="E21" s="2">
        <v>162.33000000000001</v>
      </c>
      <c r="F21" s="2">
        <v>1.24</v>
      </c>
      <c r="G21" s="2">
        <v>173.43</v>
      </c>
      <c r="H21" s="2">
        <v>1.33</v>
      </c>
      <c r="I21" s="2">
        <v>617.5</v>
      </c>
      <c r="J21" s="2">
        <v>186.94</v>
      </c>
      <c r="K21" s="2">
        <v>149.55000000000001</v>
      </c>
      <c r="L21" s="2">
        <v>140.21</v>
      </c>
      <c r="M21" s="2">
        <v>3.3</v>
      </c>
      <c r="N21" s="2">
        <v>184</v>
      </c>
      <c r="O21" s="5">
        <f>CandlesReport[[#This Row],[Close 17.07]]/CandlesReport[[#This Row],[Max close до дропа 01.07.2026]]-1</f>
        <v>-0.2459782608695652</v>
      </c>
      <c r="P21" s="7">
        <f>CandlesReport[[#This Row],[Min low (июн.2022–дек.2023) ×10]]/CandlesReport[[#This Row],[Close 17.07]]</f>
        <v>4.450771226755081</v>
      </c>
      <c r="Q21" s="5">
        <f>CandlesReport[[#This Row],[Close 17.07]]/CandlesReport[[#This Row],[Max high за 52 недели]]-1</f>
        <v>-0.25783673906066107</v>
      </c>
    </row>
    <row r="22" spans="1:17" x14ac:dyDescent="0.2">
      <c r="A22" s="3" t="s">
        <v>52</v>
      </c>
      <c r="B22" s="2">
        <v>98.88</v>
      </c>
      <c r="C22" s="2">
        <v>112.19</v>
      </c>
      <c r="D22" s="2">
        <v>105.57</v>
      </c>
      <c r="E22" s="2">
        <v>123.52</v>
      </c>
      <c r="F22" s="2">
        <v>1.1000000000000001</v>
      </c>
      <c r="G22" s="2">
        <v>131.96</v>
      </c>
      <c r="H22" s="2">
        <v>1.18</v>
      </c>
      <c r="I22" s="2">
        <v>181.5</v>
      </c>
      <c r="J22" s="2">
        <v>160.27000000000001</v>
      </c>
      <c r="K22" s="2">
        <v>128.22</v>
      </c>
      <c r="L22" s="2">
        <v>120.2</v>
      </c>
      <c r="M22" s="2">
        <v>1.1299999999999999</v>
      </c>
      <c r="N22" s="2">
        <v>159.93</v>
      </c>
      <c r="O22" s="5">
        <f>CandlesReport[[#This Row],[Close 17.07]]/CandlesReport[[#This Row],[Max close до дропа 01.07.2026]]-1</f>
        <v>-0.3398987056837367</v>
      </c>
      <c r="P22" s="7">
        <f>CandlesReport[[#This Row],[Min low (июн.2022–дек.2023) ×10]]/CandlesReport[[#This Row],[Close 17.07]]</f>
        <v>1.7192384200056836</v>
      </c>
      <c r="Q22" s="5">
        <f>CandlesReport[[#This Row],[Close 17.07]]/CandlesReport[[#This Row],[Max high за 52 недели]]-1</f>
        <v>-0.34129905783989523</v>
      </c>
    </row>
    <row r="23" spans="1:17" x14ac:dyDescent="0.2">
      <c r="A23" s="8" t="s">
        <v>30</v>
      </c>
      <c r="B23" s="2">
        <v>150.38</v>
      </c>
      <c r="C23" s="2">
        <v>190.25</v>
      </c>
      <c r="D23" s="2">
        <v>154.61000000000001</v>
      </c>
      <c r="E23" s="2">
        <v>180.89</v>
      </c>
      <c r="F23" s="2">
        <v>0.95</v>
      </c>
      <c r="G23" s="2">
        <v>193.26</v>
      </c>
      <c r="H23" s="2">
        <v>1.02</v>
      </c>
      <c r="I23" s="2">
        <v>252.6</v>
      </c>
      <c r="J23" s="2">
        <v>271.77999999999997</v>
      </c>
      <c r="K23" s="2">
        <v>217.42</v>
      </c>
      <c r="L23" s="2">
        <v>203.83</v>
      </c>
      <c r="M23" s="2">
        <v>0.93</v>
      </c>
      <c r="N23" s="2">
        <v>255.69</v>
      </c>
      <c r="O23" s="5">
        <f>CandlesReport[[#This Row],[Close 17.07]]/CandlesReport[[#This Row],[Max close до дропа 01.07.2026]]-1</f>
        <v>-0.39532246079236566</v>
      </c>
      <c r="P23" s="7">
        <f>CandlesReport[[#This Row],[Min low (июн.2022–дек.2023) ×10]]/CandlesReport[[#This Row],[Close 17.07]]</f>
        <v>1.6337882413815406</v>
      </c>
      <c r="Q23" s="5">
        <f>CandlesReport[[#This Row],[Close 17.07]]/CandlesReport[[#This Row],[Max high за 52 недели]]-1</f>
        <v>-0.4311207594377805</v>
      </c>
    </row>
    <row r="24" spans="1:17" x14ac:dyDescent="0.2">
      <c r="A24" s="3" t="s">
        <v>31</v>
      </c>
      <c r="B24" s="2">
        <v>338</v>
      </c>
      <c r="C24" s="2">
        <v>286.02999999999997</v>
      </c>
      <c r="D24" s="2">
        <v>346.77</v>
      </c>
      <c r="E24" s="2">
        <v>405.72</v>
      </c>
      <c r="F24" s="2">
        <v>1.42</v>
      </c>
      <c r="G24" s="2">
        <v>433.46</v>
      </c>
      <c r="H24" s="2">
        <v>1.52</v>
      </c>
      <c r="I24" s="2">
        <v>833.4</v>
      </c>
      <c r="J24" s="2">
        <v>408.61</v>
      </c>
      <c r="K24" s="2">
        <v>326.89</v>
      </c>
      <c r="L24" s="2">
        <v>306.45999999999998</v>
      </c>
      <c r="M24" s="2">
        <v>2.04</v>
      </c>
      <c r="N24" s="2">
        <v>402.62</v>
      </c>
      <c r="O24" s="5">
        <f>CandlesReport[[#This Row],[Close 17.07]]/CandlesReport[[#This Row],[Max close до дропа 01.07.2026]]-1</f>
        <v>-0.13871640753067416</v>
      </c>
      <c r="P24" s="7">
        <f>CandlesReport[[#This Row],[Min low (июн.2022–дек.2023) ×10]]/CandlesReport[[#This Row],[Close 17.07]]</f>
        <v>2.4033220866856997</v>
      </c>
      <c r="Q24" s="5">
        <f>CandlesReport[[#This Row],[Close 17.07]]/CandlesReport[[#This Row],[Max high за 52 недели]]-1</f>
        <v>-0.15134235579158617</v>
      </c>
    </row>
    <row r="25" spans="1:17" x14ac:dyDescent="0.2">
      <c r="A25" s="3" t="s">
        <v>32</v>
      </c>
      <c r="B25" s="2">
        <v>24.56</v>
      </c>
      <c r="C25" s="2">
        <v>44.97</v>
      </c>
      <c r="D25" s="2">
        <v>45.82</v>
      </c>
      <c r="E25" s="2">
        <v>53.61</v>
      </c>
      <c r="F25" s="2">
        <v>1.19</v>
      </c>
      <c r="G25" s="2">
        <v>57.27</v>
      </c>
      <c r="H25" s="2">
        <v>1.27</v>
      </c>
      <c r="I25" s="2">
        <v>119</v>
      </c>
      <c r="J25" s="2">
        <v>64.25</v>
      </c>
      <c r="K25" s="2">
        <v>51.4</v>
      </c>
      <c r="L25" s="2">
        <v>48.19</v>
      </c>
      <c r="M25" s="2">
        <v>1.85</v>
      </c>
      <c r="N25" s="2">
        <v>56.15</v>
      </c>
      <c r="O25" s="5">
        <f>CandlesReport[[#This Row],[Close 17.07]]/CandlesReport[[#This Row],[Max close до дропа 01.07.2026]]-1</f>
        <v>-0.18397150489759573</v>
      </c>
      <c r="P25" s="7">
        <f>CandlesReport[[#This Row],[Min low (июн.2022–дек.2023) ×10]]/CandlesReport[[#This Row],[Close 17.07]]</f>
        <v>2.5971191619380183</v>
      </c>
      <c r="Q25" s="5">
        <f>CandlesReport[[#This Row],[Close 17.07]]/CandlesReport[[#This Row],[Max high за 52 недели]]-1</f>
        <v>-0.28684824902723738</v>
      </c>
    </row>
    <row r="26" spans="1:17" x14ac:dyDescent="0.2">
      <c r="A26" s="8" t="s">
        <v>33</v>
      </c>
      <c r="B26" s="2">
        <v>308.58</v>
      </c>
      <c r="C26" s="2">
        <v>232.72</v>
      </c>
      <c r="D26" s="2">
        <v>212.67</v>
      </c>
      <c r="E26" s="2">
        <v>248.82</v>
      </c>
      <c r="F26" s="2">
        <v>1.07</v>
      </c>
      <c r="G26" s="2">
        <v>265.83999999999997</v>
      </c>
      <c r="H26" s="2">
        <v>1.1399999999999999</v>
      </c>
      <c r="I26" s="2">
        <v>1155.5</v>
      </c>
      <c r="J26" s="2">
        <v>332.46</v>
      </c>
      <c r="K26" s="2">
        <v>265.97000000000003</v>
      </c>
      <c r="L26" s="2">
        <v>249.34</v>
      </c>
      <c r="M26" s="2">
        <v>3.48</v>
      </c>
      <c r="N26" s="2">
        <v>329.23</v>
      </c>
      <c r="O26" s="5">
        <f>CandlesReport[[#This Row],[Close 17.07]]/CandlesReport[[#This Row],[Max close до дропа 01.07.2026]]-1</f>
        <v>-0.35403821036965044</v>
      </c>
      <c r="P26" s="7">
        <f>CandlesReport[[#This Row],[Min low (июн.2022–дек.2023) ×10]]/CandlesReport[[#This Row],[Close 17.07]]</f>
        <v>5.4333004184887388</v>
      </c>
      <c r="Q26" s="5">
        <f>CandlesReport[[#This Row],[Close 17.07]]/CandlesReport[[#This Row],[Max high за 52 недели]]-1</f>
        <v>-0.36031402273957769</v>
      </c>
    </row>
    <row r="27" spans="1:17" x14ac:dyDescent="0.2">
      <c r="A27" s="3" t="s">
        <v>53</v>
      </c>
      <c r="B27" s="2">
        <v>47.55</v>
      </c>
      <c r="C27" s="2">
        <v>79.510000000000005</v>
      </c>
      <c r="D27" s="2">
        <v>82.87</v>
      </c>
      <c r="E27" s="2">
        <v>96.96</v>
      </c>
      <c r="F27" s="2">
        <v>1.22</v>
      </c>
      <c r="G27" s="2">
        <v>103.59</v>
      </c>
      <c r="H27" s="2">
        <v>1.3</v>
      </c>
      <c r="I27" s="2">
        <v>210.35</v>
      </c>
      <c r="J27" s="2">
        <v>113.58</v>
      </c>
      <c r="K27" s="2">
        <v>90.86</v>
      </c>
      <c r="L27" s="2">
        <v>85.19</v>
      </c>
      <c r="M27" s="2">
        <v>1.85</v>
      </c>
      <c r="N27" s="2">
        <v>112.28</v>
      </c>
      <c r="O27" s="5">
        <f>CandlesReport[[#This Row],[Close 17.07]]/CandlesReport[[#This Row],[Max close до дропа 01.07.2026]]-1</f>
        <v>-0.26193444959030987</v>
      </c>
      <c r="P27" s="7">
        <f>CandlesReport[[#This Row],[Min low (июн.2022–дек.2023) ×10]]/CandlesReport[[#This Row],[Close 17.07]]</f>
        <v>2.538313020393387</v>
      </c>
      <c r="Q27" s="5">
        <f>CandlesReport[[#This Row],[Close 17.07]]/CandlesReport[[#This Row],[Max high за 52 недели]]-1</f>
        <v>-0.27038210952632502</v>
      </c>
    </row>
    <row r="28" spans="1:17" x14ac:dyDescent="0.2">
      <c r="A28" s="3" t="s">
        <v>34</v>
      </c>
      <c r="B28" s="2">
        <v>152.46</v>
      </c>
      <c r="C28" s="2">
        <v>215.16</v>
      </c>
      <c r="D28" s="2">
        <v>212.75</v>
      </c>
      <c r="E28" s="2">
        <v>248.92</v>
      </c>
      <c r="F28" s="2">
        <v>1.1599999999999999</v>
      </c>
      <c r="G28" s="2">
        <v>265.94</v>
      </c>
      <c r="H28" s="2">
        <v>1.24</v>
      </c>
      <c r="I28" s="2">
        <v>250.2</v>
      </c>
      <c r="J28" s="2">
        <v>307.37</v>
      </c>
      <c r="K28" s="2">
        <v>245.9</v>
      </c>
      <c r="L28" s="2">
        <v>230.53</v>
      </c>
      <c r="M28" s="2">
        <v>0.81</v>
      </c>
      <c r="N28" s="2">
        <v>301.70999999999998</v>
      </c>
      <c r="O28" s="5">
        <f>CandlesReport[[#This Row],[Close 17.07]]/CandlesReport[[#This Row],[Max close до дропа 01.07.2026]]-1</f>
        <v>-0.29485267309668217</v>
      </c>
      <c r="P28" s="7">
        <f>CandlesReport[[#This Row],[Min low (июн.2022–дек.2023) ×10]]/CandlesReport[[#This Row],[Close 17.07]]</f>
        <v>1.1760282021151587</v>
      </c>
      <c r="Q28" s="5">
        <f>CandlesReport[[#This Row],[Close 17.07]]/CandlesReport[[#This Row],[Max high за 52 недели]]-1</f>
        <v>-0.30783745973907672</v>
      </c>
    </row>
    <row r="29" spans="1:17" x14ac:dyDescent="0.2">
      <c r="A29" s="3" t="s">
        <v>35</v>
      </c>
      <c r="B29" s="2">
        <v>700.91</v>
      </c>
      <c r="C29" s="2">
        <v>759.98</v>
      </c>
      <c r="D29" s="2">
        <v>732.82</v>
      </c>
      <c r="E29" s="2">
        <v>857.4</v>
      </c>
      <c r="F29" s="2">
        <v>1.1299999999999999</v>
      </c>
      <c r="G29" s="2">
        <v>916.03</v>
      </c>
      <c r="H29" s="2">
        <v>1.21</v>
      </c>
      <c r="I29" s="2">
        <v>353.5</v>
      </c>
      <c r="J29" s="2">
        <v>1085.68</v>
      </c>
      <c r="K29" s="2">
        <v>868.54</v>
      </c>
      <c r="L29" s="2">
        <v>814.26</v>
      </c>
      <c r="M29" s="2">
        <v>0.33</v>
      </c>
      <c r="N29" s="2">
        <v>1053.0899999999999</v>
      </c>
      <c r="O29" s="5">
        <f>CandlesReport[[#This Row],[Close 17.07]]/CandlesReport[[#This Row],[Max close до дропа 01.07.2026]]-1</f>
        <v>-0.30412405397449405</v>
      </c>
      <c r="P29" s="7">
        <f>CandlesReport[[#This Row],[Min low (июн.2022–дек.2023) ×10]]/CandlesReport[[#This Row],[Close 17.07]]</f>
        <v>0.48238312273136646</v>
      </c>
      <c r="Q29" s="5">
        <f>CandlesReport[[#This Row],[Close 17.07]]/CandlesReport[[#This Row],[Max high за 52 недели]]-1</f>
        <v>-0.32501289514405718</v>
      </c>
    </row>
    <row r="30" spans="1:17" x14ac:dyDescent="0.2">
      <c r="A30" s="3" t="s">
        <v>36</v>
      </c>
      <c r="B30" s="2">
        <v>233.89</v>
      </c>
      <c r="C30" s="2">
        <v>306.95</v>
      </c>
      <c r="D30" s="2">
        <v>313.3</v>
      </c>
      <c r="E30" s="2">
        <v>366.56</v>
      </c>
      <c r="F30" s="2">
        <v>1.19</v>
      </c>
      <c r="G30" s="2">
        <v>391.62</v>
      </c>
      <c r="H30" s="2">
        <v>1.28</v>
      </c>
      <c r="I30" s="2">
        <v>299.58999999999997</v>
      </c>
      <c r="J30" s="2">
        <v>438.5</v>
      </c>
      <c r="K30" s="2">
        <v>350.8</v>
      </c>
      <c r="L30" s="2">
        <v>328.88</v>
      </c>
      <c r="M30" s="2">
        <v>0.68</v>
      </c>
      <c r="N30" s="2">
        <v>433.33</v>
      </c>
      <c r="O30" s="5">
        <f>CandlesReport[[#This Row],[Close 17.07]]/CandlesReport[[#This Row],[Max close до дропа 01.07.2026]]-1</f>
        <v>-0.27699443841875704</v>
      </c>
      <c r="P30" s="7">
        <f>CandlesReport[[#This Row],[Min low (июн.2022–дек.2023) ×10]]/CandlesReport[[#This Row],[Close 17.07]]</f>
        <v>0.95624002553463128</v>
      </c>
      <c r="Q30" s="5">
        <f>CandlesReport[[#This Row],[Close 17.07]]/CandlesReport[[#This Row],[Max high за 52 недели]]-1</f>
        <v>-0.28551881413911062</v>
      </c>
    </row>
    <row r="31" spans="1:17" x14ac:dyDescent="0.2">
      <c r="A31" s="3" t="s">
        <v>37</v>
      </c>
      <c r="B31" s="2">
        <v>773.44</v>
      </c>
      <c r="C31" s="2">
        <v>557.38</v>
      </c>
      <c r="D31" s="2">
        <v>646.01</v>
      </c>
      <c r="E31" s="2">
        <v>755.83</v>
      </c>
      <c r="F31" s="2">
        <v>1.36</v>
      </c>
      <c r="G31" s="2">
        <v>807.51</v>
      </c>
      <c r="H31" s="2">
        <v>1.45</v>
      </c>
      <c r="I31" s="2">
        <v>880.9</v>
      </c>
      <c r="J31" s="2">
        <v>796.25</v>
      </c>
      <c r="K31" s="2">
        <v>637</v>
      </c>
      <c r="L31" s="2">
        <v>597.19000000000005</v>
      </c>
      <c r="M31" s="2">
        <v>1.1100000000000001</v>
      </c>
      <c r="N31" s="2">
        <v>790</v>
      </c>
      <c r="O31" s="5">
        <f>CandlesReport[[#This Row],[Close 17.07]]/CandlesReport[[#This Row],[Max close до дропа 01.07.2026]]-1</f>
        <v>-0.18226582278481018</v>
      </c>
      <c r="P31" s="7">
        <f>CandlesReport[[#This Row],[Min low (июн.2022–дек.2023) ×10]]/CandlesReport[[#This Row],[Close 17.07]]</f>
        <v>1.3636011826442316</v>
      </c>
      <c r="Q31" s="5">
        <f>CandlesReport[[#This Row],[Close 17.07]]/CandlesReport[[#This Row],[Max high за 52 недели]]-1</f>
        <v>-0.18868445839874415</v>
      </c>
    </row>
    <row r="32" spans="1:17" x14ac:dyDescent="0.2">
      <c r="A32" s="9" t="s">
        <v>38</v>
      </c>
      <c r="B32" s="2">
        <v>112.86</v>
      </c>
      <c r="C32" s="2">
        <v>230.92</v>
      </c>
      <c r="D32" s="2">
        <v>188.68</v>
      </c>
      <c r="E32" s="2">
        <v>220.76</v>
      </c>
      <c r="F32" s="2">
        <v>0.96</v>
      </c>
      <c r="G32" s="2">
        <v>235.85</v>
      </c>
      <c r="H32" s="2">
        <v>1.02</v>
      </c>
      <c r="I32" s="2">
        <v>337.5</v>
      </c>
      <c r="J32" s="2">
        <v>329.88</v>
      </c>
      <c r="K32" s="2">
        <v>263.89999999999998</v>
      </c>
      <c r="L32" s="2">
        <v>247.41</v>
      </c>
      <c r="M32" s="2">
        <v>1.02</v>
      </c>
      <c r="N32" s="2">
        <v>316.43</v>
      </c>
      <c r="O32" s="5">
        <f>CandlesReport[[#This Row],[Close 17.07]]/CandlesReport[[#This Row],[Max close до дропа 01.07.2026]]-1</f>
        <v>-0.40372278228992198</v>
      </c>
      <c r="P32" s="7">
        <f>CandlesReport[[#This Row],[Min low (июн.2022–дек.2023) ×10]]/CandlesReport[[#This Row],[Close 17.07]]</f>
        <v>1.7887428450286198</v>
      </c>
      <c r="Q32" s="5">
        <f>CandlesReport[[#This Row],[Close 17.07]]/CandlesReport[[#This Row],[Max high за 52 недели]]-1</f>
        <v>-0.42803443676488417</v>
      </c>
    </row>
    <row r="33" spans="1:17" x14ac:dyDescent="0.2">
      <c r="A33" s="3" t="s">
        <v>39</v>
      </c>
      <c r="B33" s="2">
        <v>533.5</v>
      </c>
      <c r="C33" s="2">
        <v>388.82</v>
      </c>
      <c r="D33" s="2">
        <v>393.82</v>
      </c>
      <c r="E33" s="2">
        <v>460.77</v>
      </c>
      <c r="F33" s="2">
        <v>1.19</v>
      </c>
      <c r="G33" s="2">
        <v>492.28</v>
      </c>
      <c r="H33" s="2">
        <v>1.27</v>
      </c>
      <c r="I33" s="2">
        <v>2134.3000000000002</v>
      </c>
      <c r="J33" s="2">
        <v>555.45000000000005</v>
      </c>
      <c r="K33" s="2">
        <v>444.36</v>
      </c>
      <c r="L33" s="2">
        <v>416.59</v>
      </c>
      <c r="M33" s="2">
        <v>3.84</v>
      </c>
      <c r="N33" s="2">
        <v>542.07000000000005</v>
      </c>
      <c r="O33" s="5">
        <f>CandlesReport[[#This Row],[Close 17.07]]/CandlesReport[[#This Row],[Max close до дропа 01.07.2026]]-1</f>
        <v>-0.27348866382570525</v>
      </c>
      <c r="P33" s="7">
        <f>CandlesReport[[#This Row],[Min low (июн.2022–дек.2023) ×10]]/CandlesReport[[#This Row],[Close 17.07]]</f>
        <v>5.4194809811589053</v>
      </c>
      <c r="Q33" s="5">
        <f>CandlesReport[[#This Row],[Close 17.07]]/CandlesReport[[#This Row],[Max high за 52 недели]]-1</f>
        <v>-0.29098928796471335</v>
      </c>
    </row>
    <row r="34" spans="1:17" x14ac:dyDescent="0.2">
      <c r="A34" s="8" t="s">
        <v>40</v>
      </c>
      <c r="B34" s="2">
        <v>414.88</v>
      </c>
      <c r="C34" s="2">
        <v>878.5</v>
      </c>
      <c r="D34" s="2">
        <v>848.95</v>
      </c>
      <c r="E34" s="2">
        <v>993.27</v>
      </c>
      <c r="F34" s="2">
        <v>1.1299999999999999</v>
      </c>
      <c r="G34" s="2">
        <v>1061.19</v>
      </c>
      <c r="H34" s="2">
        <v>1.21</v>
      </c>
      <c r="I34" s="2">
        <v>484.3</v>
      </c>
      <c r="J34" s="2">
        <v>1255</v>
      </c>
      <c r="K34" s="2">
        <v>1004</v>
      </c>
      <c r="L34" s="2">
        <v>941.25</v>
      </c>
      <c r="M34" s="2">
        <v>0.39</v>
      </c>
      <c r="N34" s="2">
        <v>1213.56</v>
      </c>
      <c r="O34" s="5">
        <f>CandlesReport[[#This Row],[Close 17.07]]/CandlesReport[[#This Row],[Max close до дропа 01.07.2026]]-1</f>
        <v>-0.30044661986222343</v>
      </c>
      <c r="P34" s="7">
        <f>CandlesReport[[#This Row],[Min low (июн.2022–дек.2023) ×10]]/CandlesReport[[#This Row],[Close 17.07]]</f>
        <v>0.57046940338064667</v>
      </c>
      <c r="Q34" s="5">
        <f>CandlesReport[[#This Row],[Close 17.07]]/CandlesReport[[#This Row],[Max high за 52 недели]]-1</f>
        <v>-0.3235458167330677</v>
      </c>
    </row>
    <row r="35" spans="1:17" x14ac:dyDescent="0.2">
      <c r="A35" s="8" t="s">
        <v>41</v>
      </c>
      <c r="B35" s="2">
        <v>128.80000000000001</v>
      </c>
      <c r="C35" s="2">
        <v>134.97999999999999</v>
      </c>
      <c r="D35" s="2">
        <v>163.88</v>
      </c>
      <c r="E35" s="2">
        <v>191.74</v>
      </c>
      <c r="F35" s="2">
        <v>1.42</v>
      </c>
      <c r="G35" s="2">
        <v>204.85</v>
      </c>
      <c r="H35" s="2">
        <v>1.52</v>
      </c>
      <c r="I35" s="2">
        <v>580.79999999999995</v>
      </c>
      <c r="J35" s="2">
        <v>192.83</v>
      </c>
      <c r="K35" s="2">
        <v>154.26</v>
      </c>
      <c r="L35" s="2">
        <v>144.62</v>
      </c>
      <c r="M35" s="2">
        <v>3.01</v>
      </c>
      <c r="N35" s="2">
        <v>181.08</v>
      </c>
      <c r="O35" s="5">
        <f>CandlesReport[[#This Row],[Close 17.07]]/CandlesReport[[#This Row],[Max close до дропа 01.07.2026]]-1</f>
        <v>-9.4985641705323753E-2</v>
      </c>
      <c r="P35" s="7">
        <f>CandlesReport[[#This Row],[Min low (июн.2022–дек.2023) ×10]]/CandlesReport[[#This Row],[Close 17.07]]</f>
        <v>3.5440566268000975</v>
      </c>
      <c r="Q35" s="5">
        <f>CandlesReport[[#This Row],[Close 17.07]]/CandlesReport[[#This Row],[Max high за 52 недели]]-1</f>
        <v>-0.1501322408338952</v>
      </c>
    </row>
    <row r="36" spans="1:17" x14ac:dyDescent="0.2">
      <c r="A36" s="3" t="s">
        <v>42</v>
      </c>
      <c r="B36" s="2">
        <v>202.49</v>
      </c>
      <c r="C36" s="2">
        <v>165.58</v>
      </c>
      <c r="D36" s="2">
        <v>202.81</v>
      </c>
      <c r="E36" s="2">
        <v>237.29</v>
      </c>
      <c r="F36" s="2">
        <v>1.43</v>
      </c>
      <c r="G36" s="2">
        <v>253.51</v>
      </c>
      <c r="H36" s="2">
        <v>1.53</v>
      </c>
      <c r="I36" s="2">
        <v>108.13</v>
      </c>
      <c r="J36" s="2">
        <v>236.54</v>
      </c>
      <c r="K36" s="2">
        <v>189.23</v>
      </c>
      <c r="L36" s="2">
        <v>177.4</v>
      </c>
      <c r="M36" s="2">
        <v>0.46</v>
      </c>
      <c r="N36" s="2">
        <v>235.74</v>
      </c>
      <c r="O36" s="5">
        <f>CandlesReport[[#This Row],[Close 17.07]]/CandlesReport[[#This Row],[Max close до дропа 01.07.2026]]-1</f>
        <v>-0.13968779163485201</v>
      </c>
      <c r="P36" s="7">
        <f>CandlesReport[[#This Row],[Min low (июн.2022–дек.2023) ×10]]/CandlesReport[[#This Row],[Close 17.07]]</f>
        <v>0.53315911444208863</v>
      </c>
      <c r="Q36" s="5">
        <f>CandlesReport[[#This Row],[Close 17.07]]/CandlesReport[[#This Row],[Max high за 52 недели]]-1</f>
        <v>-0.14259744652067297</v>
      </c>
    </row>
    <row r="37" spans="1:17" x14ac:dyDescent="0.2">
      <c r="A37" s="3" t="s">
        <v>43</v>
      </c>
      <c r="B37" s="2">
        <v>219.56</v>
      </c>
      <c r="C37" s="2">
        <v>270.52</v>
      </c>
      <c r="D37" s="2">
        <v>279.85000000000002</v>
      </c>
      <c r="E37" s="2">
        <v>327.42</v>
      </c>
      <c r="F37" s="2">
        <v>1.21</v>
      </c>
      <c r="G37" s="2">
        <v>349.81</v>
      </c>
      <c r="H37" s="2">
        <v>1.29</v>
      </c>
      <c r="I37" s="2">
        <v>560.20000000000005</v>
      </c>
      <c r="J37" s="2">
        <v>386.46</v>
      </c>
      <c r="K37" s="2">
        <v>309.17</v>
      </c>
      <c r="L37" s="2">
        <v>289.83999999999997</v>
      </c>
      <c r="M37" s="2">
        <v>1.45</v>
      </c>
      <c r="N37" s="2">
        <v>378.45</v>
      </c>
      <c r="O37" s="5">
        <f>CandlesReport[[#This Row],[Close 17.07]]/CandlesReport[[#This Row],[Max close до дропа 01.07.2026]]-1</f>
        <v>-0.26053639846743282</v>
      </c>
      <c r="P37" s="7">
        <f>CandlesReport[[#This Row],[Min low (июн.2022–дек.2023) ×10]]/CandlesReport[[#This Row],[Close 17.07]]</f>
        <v>2.0017866714311237</v>
      </c>
      <c r="Q37" s="5">
        <f>CandlesReport[[#This Row],[Close 17.07]]/CandlesReport[[#This Row],[Max high за 52 недели]]-1</f>
        <v>-0.27586296123790288</v>
      </c>
    </row>
    <row r="38" spans="1:17" x14ac:dyDescent="0.2">
      <c r="A38" s="3" t="s">
        <v>44</v>
      </c>
      <c r="B38" s="2">
        <v>281.24</v>
      </c>
      <c r="C38" s="2">
        <v>242</v>
      </c>
      <c r="D38" s="2">
        <v>126.41</v>
      </c>
      <c r="E38" s="2">
        <v>147.9</v>
      </c>
      <c r="F38" s="2">
        <v>0.61</v>
      </c>
      <c r="G38" s="2">
        <v>158.01</v>
      </c>
      <c r="H38" s="2">
        <v>0.65</v>
      </c>
      <c r="I38" s="2">
        <v>607.79999999999995</v>
      </c>
      <c r="J38" s="2">
        <v>345.72</v>
      </c>
      <c r="K38" s="2">
        <v>276.58</v>
      </c>
      <c r="L38" s="2">
        <v>259.29000000000002</v>
      </c>
      <c r="M38" s="2">
        <v>1.76</v>
      </c>
      <c r="N38" s="2">
        <v>328.33</v>
      </c>
      <c r="O38" s="5">
        <f>CandlesReport[[#This Row],[Close 17.07]]/CandlesReport[[#This Row],[Max close до дропа 01.07.2026]]-1</f>
        <v>-0.61499101513720955</v>
      </c>
      <c r="P38" s="7">
        <f>CandlesReport[[#This Row],[Min low (июн.2022–дек.2023) ×10]]/CandlesReport[[#This Row],[Close 17.07]]</f>
        <v>4.8081639110829837</v>
      </c>
      <c r="Q38" s="5">
        <f>CandlesReport[[#This Row],[Close 17.07]]/CandlesReport[[#This Row],[Max high за 52 недели]]-1</f>
        <v>-0.63435728335068853</v>
      </c>
    </row>
    <row r="39" spans="1:17" x14ac:dyDescent="0.2">
      <c r="A39" s="3" t="s">
        <v>54</v>
      </c>
      <c r="B39" s="2">
        <v>129.22999999999999</v>
      </c>
      <c r="C39" s="2">
        <v>248.5</v>
      </c>
      <c r="D39" s="2">
        <v>264.33</v>
      </c>
      <c r="E39" s="2">
        <v>309.27</v>
      </c>
      <c r="F39" s="2">
        <v>1.24</v>
      </c>
      <c r="G39" s="2">
        <v>330.41</v>
      </c>
      <c r="H39" s="2">
        <v>1.33</v>
      </c>
      <c r="I39" s="2">
        <v>495</v>
      </c>
      <c r="J39" s="2">
        <v>355</v>
      </c>
      <c r="K39" s="2">
        <v>284</v>
      </c>
      <c r="L39" s="2">
        <v>266.25</v>
      </c>
      <c r="M39" s="2">
        <v>1.39</v>
      </c>
      <c r="N39" s="2">
        <v>336.9</v>
      </c>
      <c r="O39" s="5">
        <f>CandlesReport[[#This Row],[Close 17.07]]/CandlesReport[[#This Row],[Max close до дропа 01.07.2026]]-1</f>
        <v>-0.21540516473731075</v>
      </c>
      <c r="P39" s="7">
        <f>CandlesReport[[#This Row],[Min low (июн.2022–дек.2023) ×10]]/CandlesReport[[#This Row],[Close 17.07]]</f>
        <v>1.8726591760299627</v>
      </c>
      <c r="Q39" s="5">
        <f>CandlesReport[[#This Row],[Close 17.07]]/CandlesReport[[#This Row],[Max high за 52 недели]]-1</f>
        <v>-0.25540845070422535</v>
      </c>
    </row>
    <row r="40" spans="1:17" x14ac:dyDescent="0.2">
      <c r="A40" s="3" t="s">
        <v>45</v>
      </c>
      <c r="B40" s="2">
        <v>635.36</v>
      </c>
      <c r="C40" s="2">
        <v>1648.07</v>
      </c>
      <c r="D40" s="2">
        <v>1354.82</v>
      </c>
      <c r="E40" s="2">
        <v>1585.14</v>
      </c>
      <c r="F40" s="2">
        <v>0.96</v>
      </c>
      <c r="G40" s="2">
        <v>1693.52</v>
      </c>
      <c r="H40" s="2">
        <v>1.03</v>
      </c>
      <c r="I40" s="2">
        <v>0</v>
      </c>
      <c r="J40" s="2">
        <v>2354.39</v>
      </c>
      <c r="K40" s="2">
        <v>1883.51</v>
      </c>
      <c r="L40" s="2">
        <v>1765.79</v>
      </c>
      <c r="M40" s="2">
        <v>0</v>
      </c>
      <c r="N40" s="2">
        <v>2335</v>
      </c>
      <c r="O40" s="5">
        <f>CandlesReport[[#This Row],[Close 17.07]]/CandlesReport[[#This Row],[Max close до дропа 01.07.2026]]-1</f>
        <v>-0.41977730192719487</v>
      </c>
      <c r="P40" s="7">
        <f>CandlesReport[[#This Row],[Min low (июн.2022–дек.2023) ×10]]/CandlesReport[[#This Row],[Close 17.07]]</f>
        <v>0</v>
      </c>
      <c r="Q40" s="5">
        <f>CandlesReport[[#This Row],[Close 17.07]]/CandlesReport[[#This Row],[Max high за 52 недели]]-1</f>
        <v>-0.42455582974783279</v>
      </c>
    </row>
    <row r="41" spans="1:17" x14ac:dyDescent="0.2">
      <c r="A41" s="3" t="s">
        <v>46</v>
      </c>
      <c r="B41" s="2">
        <v>633.47</v>
      </c>
      <c r="C41" s="2">
        <v>456.21</v>
      </c>
      <c r="D41" s="2">
        <v>384.28</v>
      </c>
      <c r="E41" s="2">
        <v>449.61</v>
      </c>
      <c r="F41" s="2">
        <v>0.99</v>
      </c>
      <c r="G41" s="2">
        <v>480.35</v>
      </c>
      <c r="H41" s="2">
        <v>1.05</v>
      </c>
      <c r="I41" s="2">
        <v>2670</v>
      </c>
      <c r="J41" s="2">
        <v>651.73</v>
      </c>
      <c r="K41" s="2">
        <v>521.38</v>
      </c>
      <c r="L41" s="2">
        <v>488.8</v>
      </c>
      <c r="M41" s="2">
        <v>4.0999999999999996</v>
      </c>
      <c r="N41" s="2">
        <v>645.35</v>
      </c>
      <c r="O41" s="5">
        <f>CandlesReport[[#This Row],[Close 17.07]]/CandlesReport[[#This Row],[Max close до дропа 01.07.2026]]-1</f>
        <v>-0.40454017199969017</v>
      </c>
      <c r="P41" s="7">
        <f>CandlesReport[[#This Row],[Min low (июн.2022–дек.2023) ×10]]/CandlesReport[[#This Row],[Close 17.07]]</f>
        <v>6.9480587071926729</v>
      </c>
      <c r="Q41" s="5">
        <f>CandlesReport[[#This Row],[Close 17.07]]/CandlesReport[[#This Row],[Max high за 52 недели]]-1</f>
        <v>-0.4103693247203597</v>
      </c>
    </row>
    <row r="42" spans="1:17" x14ac:dyDescent="0.2">
      <c r="A42" s="3" t="s">
        <v>47</v>
      </c>
      <c r="B42" s="2">
        <v>407.84</v>
      </c>
      <c r="C42" s="2">
        <v>801.5</v>
      </c>
      <c r="D42" s="2">
        <v>787.66</v>
      </c>
      <c r="E42" s="2">
        <v>921.56</v>
      </c>
      <c r="F42" s="2">
        <v>1.1499999999999999</v>
      </c>
      <c r="G42" s="2">
        <v>984.57</v>
      </c>
      <c r="H42" s="2">
        <v>1.23</v>
      </c>
      <c r="I42" s="2">
        <v>474.7</v>
      </c>
      <c r="J42" s="2">
        <v>1145</v>
      </c>
      <c r="K42" s="2">
        <v>916</v>
      </c>
      <c r="L42" s="2">
        <v>858.75</v>
      </c>
      <c r="M42" s="2">
        <v>0.41</v>
      </c>
      <c r="N42" s="2">
        <v>1094.04</v>
      </c>
      <c r="O42" s="5">
        <f>CandlesReport[[#This Row],[Close 17.07]]/CandlesReport[[#This Row],[Max close до дропа 01.07.2026]]-1</f>
        <v>-0.28004460531607622</v>
      </c>
      <c r="P42" s="7">
        <f>CandlesReport[[#This Row],[Min low (июн.2022–дек.2023) ×10]]/CandlesReport[[#This Row],[Close 17.07]]</f>
        <v>0.60267120331107327</v>
      </c>
      <c r="Q42" s="5">
        <f>CandlesReport[[#This Row],[Close 17.07]]/CandlesReport[[#This Row],[Max high за 52 недели]]-1</f>
        <v>-0.31208733624454155</v>
      </c>
    </row>
    <row r="43" spans="1:17" x14ac:dyDescent="0.2">
      <c r="A43" s="8" t="s">
        <v>48</v>
      </c>
      <c r="B43" s="2">
        <v>320.02999999999997</v>
      </c>
      <c r="C43" s="2">
        <v>341.54</v>
      </c>
      <c r="D43" s="2">
        <v>322.36</v>
      </c>
      <c r="E43" s="2">
        <v>377.16</v>
      </c>
      <c r="F43" s="2">
        <v>1.1000000000000001</v>
      </c>
      <c r="G43" s="2">
        <v>402.95</v>
      </c>
      <c r="H43" s="2">
        <v>1.18</v>
      </c>
      <c r="I43" s="2">
        <v>678.1</v>
      </c>
      <c r="J43" s="2">
        <v>487.91</v>
      </c>
      <c r="K43" s="2">
        <v>390.33</v>
      </c>
      <c r="L43" s="2">
        <v>365.93</v>
      </c>
      <c r="M43" s="2">
        <v>1.39</v>
      </c>
      <c r="N43" s="2">
        <v>483.84</v>
      </c>
      <c r="O43" s="5">
        <f>CandlesReport[[#This Row],[Close 17.07]]/CandlesReport[[#This Row],[Max close до дропа 01.07.2026]]-1</f>
        <v>-0.33374669312169303</v>
      </c>
      <c r="P43" s="7">
        <f>CandlesReport[[#This Row],[Min low (июн.2022–дек.2023) ×10]]/CandlesReport[[#This Row],[Close 17.07]]</f>
        <v>2.1035488273979404</v>
      </c>
      <c r="Q43" s="5">
        <f>CandlesReport[[#This Row],[Close 17.07]]/CandlesReport[[#This Row],[Max high за 52 недели]]-1</f>
        <v>-0.33930437990613027</v>
      </c>
    </row>
    <row r="44" spans="1:17" x14ac:dyDescent="0.2">
      <c r="A44" s="3" t="s">
        <v>55</v>
      </c>
      <c r="B44" s="2">
        <v>104.24</v>
      </c>
      <c r="C44" s="2">
        <v>156.68</v>
      </c>
      <c r="D44" s="2">
        <v>132</v>
      </c>
      <c r="E44" s="2">
        <v>154.44</v>
      </c>
      <c r="F44" s="2">
        <v>0.99</v>
      </c>
      <c r="G44" s="2">
        <v>165</v>
      </c>
      <c r="H44" s="2">
        <v>1.05</v>
      </c>
      <c r="I44" s="2">
        <v>111.3</v>
      </c>
      <c r="J44" s="2">
        <v>223.83</v>
      </c>
      <c r="K44" s="2">
        <v>179.06</v>
      </c>
      <c r="L44" s="2">
        <v>167.87</v>
      </c>
      <c r="M44" s="2">
        <v>0.5</v>
      </c>
      <c r="N44" s="2">
        <v>221.47</v>
      </c>
      <c r="O44" s="5">
        <f>CandlesReport[[#This Row],[Close 17.07]]/CandlesReport[[#This Row],[Max close до дропа 01.07.2026]]-1</f>
        <v>-0.40398248069715992</v>
      </c>
      <c r="P44" s="7">
        <f>CandlesReport[[#This Row],[Min low (июн.2022–дек.2023) ×10]]/CandlesReport[[#This Row],[Close 17.07]]</f>
        <v>0.84318181818181814</v>
      </c>
      <c r="Q44" s="5">
        <f>CandlesReport[[#This Row],[Close 17.07]]/CandlesReport[[#This Row],[Max high за 52 недели]]-1</f>
        <v>-0.41026672027878308</v>
      </c>
    </row>
    <row r="45" spans="1:17" x14ac:dyDescent="0.2">
      <c r="A45" s="8" t="s">
        <v>49</v>
      </c>
      <c r="B45" s="2">
        <v>215.55</v>
      </c>
      <c r="C45" s="2">
        <v>233.82</v>
      </c>
      <c r="D45" s="2">
        <v>284.02</v>
      </c>
      <c r="E45" s="2">
        <v>332.3</v>
      </c>
      <c r="F45" s="2">
        <v>1.42</v>
      </c>
      <c r="G45" s="2">
        <v>355.02</v>
      </c>
      <c r="H45" s="2">
        <v>1.52</v>
      </c>
      <c r="I45" s="2">
        <v>1394.8</v>
      </c>
      <c r="J45" s="2">
        <v>334.03</v>
      </c>
      <c r="K45" s="2">
        <v>267.22000000000003</v>
      </c>
      <c r="L45" s="2">
        <v>250.52</v>
      </c>
      <c r="M45" s="2">
        <v>4.18</v>
      </c>
      <c r="N45" s="2">
        <v>332.28</v>
      </c>
      <c r="O45" s="5">
        <f>CandlesReport[[#This Row],[Close 17.07]]/CandlesReport[[#This Row],[Max close до дропа 01.07.2026]]-1</f>
        <v>-0.14523895509811002</v>
      </c>
      <c r="P45" s="7">
        <f>CandlesReport[[#This Row],[Min low (июн.2022–дек.2023) ×10]]/CandlesReport[[#This Row],[Close 17.07]]</f>
        <v>4.9109217660728115</v>
      </c>
      <c r="Q45" s="5">
        <f>CandlesReport[[#This Row],[Close 17.07]]/CandlesReport[[#This Row],[Max high за 52 недели]]-1</f>
        <v>-0.14971709127922639</v>
      </c>
    </row>
    <row r="46" spans="1:17" x14ac:dyDescent="0.2">
      <c r="A46" s="3" t="s">
        <v>50</v>
      </c>
      <c r="B46" s="2">
        <v>279.7</v>
      </c>
      <c r="C46" s="2">
        <v>559.91</v>
      </c>
      <c r="D46" s="2">
        <v>477.22</v>
      </c>
      <c r="E46" s="2">
        <v>558.35</v>
      </c>
      <c r="F46" s="2">
        <v>1</v>
      </c>
      <c r="G46" s="2">
        <v>596.53</v>
      </c>
      <c r="H46" s="2">
        <v>1.07</v>
      </c>
      <c r="I46" s="2">
        <v>224.72</v>
      </c>
      <c r="J46" s="2">
        <v>799.87</v>
      </c>
      <c r="K46" s="2">
        <v>639.9</v>
      </c>
      <c r="L46" s="2">
        <v>599.9</v>
      </c>
      <c r="M46" s="2">
        <v>0.28000000000000003</v>
      </c>
      <c r="N46" s="2">
        <v>746.23</v>
      </c>
      <c r="O46" s="5">
        <f>CandlesReport[[#This Row],[Close 17.07]]/CandlesReport[[#This Row],[Max close до дропа 01.07.2026]]-1</f>
        <v>-0.36049207348940671</v>
      </c>
      <c r="P46" s="7">
        <f>CandlesReport[[#This Row],[Min low (июн.2022–дек.2023) ×10]]/CandlesReport[[#This Row],[Close 17.07]]</f>
        <v>0.47089392732911445</v>
      </c>
      <c r="Q46" s="5">
        <f>CandlesReport[[#This Row],[Close 17.07]]/CandlesReport[[#This Row],[Max high за 52 недели]]-1</f>
        <v>-0.40337804893295159</v>
      </c>
    </row>
    <row r="47" spans="1:17" x14ac:dyDescent="0.2">
      <c r="A47" s="3" t="s">
        <v>51</v>
      </c>
      <c r="B47" s="2">
        <v>25858.13</v>
      </c>
      <c r="C47" s="2">
        <v>21533.54</v>
      </c>
      <c r="D47" s="2">
        <v>28592.66</v>
      </c>
      <c r="E47" s="2">
        <v>33453.410000000003</v>
      </c>
      <c r="F47" s="2">
        <v>1.55</v>
      </c>
      <c r="G47" s="2">
        <v>35740.83</v>
      </c>
      <c r="H47" s="2">
        <v>1.66</v>
      </c>
      <c r="I47" s="2">
        <v>104406.39999999999</v>
      </c>
      <c r="J47" s="2">
        <v>30762.2</v>
      </c>
      <c r="K47" s="2">
        <v>24609.759999999998</v>
      </c>
      <c r="L47" s="2">
        <v>23071.65</v>
      </c>
      <c r="M47" s="2">
        <v>3.39</v>
      </c>
      <c r="N47" s="2">
        <v>30660.6</v>
      </c>
    </row>
    <row r="49" spans="1:14" x14ac:dyDescent="0.2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2026-07-18T12:22:12Z</dcterms:modified>
</cp:coreProperties>
</file>